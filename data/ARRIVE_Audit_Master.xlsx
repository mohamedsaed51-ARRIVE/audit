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الغلاف والتعليمات" state="visible" r:id="rId4"/>
    <sheet sheetId="3" name="البيانات الخام" state="visible" r:id="rId5"/>
    <sheet sheetId="4" name="التحقق والتدقيق" state="visible" r:id="rId6"/>
    <sheet sheetId="5" name="إدخال المراجعة" state="visible" r:id="rId7"/>
    <sheet sheetId="6" name="الحسابات" state="visible" r:id="rId8"/>
    <sheet sheetId="7" name="ملخص المؤشرات" state="visible" r:id="rId9"/>
    <sheet sheetId="8" name="لوحة المتابعة" state="visible" r:id="rId10"/>
    <sheet sheetId="9" name="الملاحظات" state="visible" r:id="rId11"/>
    <sheet sheetId="10" name="متابعة الإجراءات" state="visible" r:id="rId12"/>
    <sheet sheetId="11" name="قاموس البيانات" state="visible" r:id="rId13"/>
    <sheet sheetId="1" name="قوائم" state="hidden" r:id="rId14"/>
  </sheets>
  <calcPr calcId="171027"/>
</workbook>
</file>

<file path=xl/sharedStrings.xml><?xml version="1.0" encoding="utf-8"?>
<sst xmlns="http://schemas.openxmlformats.org/spreadsheetml/2006/main" count="336" uniqueCount="204">
  <si>
    <t>ملف المراجعة التشغيلية — سبتمبر 2026</t>
  </si>
  <si>
    <t>بيانات توضيحية</t>
  </si>
  <si>
    <t>الجهة</t>
  </si>
  <si>
    <t>إدارة المراجعة الداخلية</t>
  </si>
  <si>
    <t>الفترة</t>
  </si>
  <si>
    <t>2026-09-01 إلى 2026-09-30</t>
  </si>
  <si>
    <t>مصدر البيانات</t>
  </si>
  <si>
    <t>نظام الشحنات — استخراج 2026-09-28</t>
  </si>
  <si>
    <t>الإصدار</t>
  </si>
  <si>
    <t>1.0</t>
  </si>
  <si>
    <t>التعليمات</t>
  </si>
  <si>
    <t>الصق البيانات الخام في ورقة «البيانات الخام» بدون تعديل القيم.</t>
  </si>
  <si>
    <t>راجع ورقة «التحقق والتدقيق» وعالج أي نتيجة «غير مطابق» قبل التحليل.</t>
  </si>
  <si>
    <t>سجل الحالات في «إدخال المراجعة» باستخدام القوائم المنسدلة فقط.</t>
  </si>
  <si>
    <t>الأوراق «الحسابات» و«ملخص المؤشرات» و«لوحة المتابعة» محسوبة — لا تكتب فوق المعادلات.</t>
  </si>
  <si>
    <t>سجل الملاحظات والإجراءات مع المسؤول وتاريخ الاستحقاق.</t>
  </si>
  <si>
    <t>احذف علامة «بيانات توضيحية» فقط عند استخدام بيانات ARRIVE فعلية من مصدر مسمى.</t>
  </si>
  <si>
    <t>دلالة الحالات (النص إلزامي — اللون مساعد)</t>
  </si>
  <si>
    <t>تم</t>
  </si>
  <si>
    <t>معلق</t>
  </si>
  <si>
    <t>متأخر</t>
  </si>
  <si>
    <t>مرفوض</t>
  </si>
  <si>
    <t>قيد المراجعة</t>
  </si>
  <si>
    <t>غير مطابق</t>
  </si>
  <si>
    <t>غير مسجل</t>
  </si>
  <si>
    <t>تم الاستلام</t>
  </si>
  <si>
    <t>لم يتم الاستلام</t>
  </si>
  <si>
    <t>رقم الشحنة</t>
  </si>
  <si>
    <t>تاريخ الإنشاء</t>
  </si>
  <si>
    <t>الفرع</t>
  </si>
  <si>
    <t>المنطقة</t>
  </si>
  <si>
    <t>التاجر</t>
  </si>
  <si>
    <t>نوع الخدمة</t>
  </si>
  <si>
    <t>الحالة</t>
  </si>
  <si>
    <t>تاريخ التسليم</t>
  </si>
  <si>
    <t>قيمة التحصيل</t>
  </si>
  <si>
    <t>AWB-0048213</t>
  </si>
  <si>
    <t>مدينة نصر</t>
  </si>
  <si>
    <t>الحي السابع</t>
  </si>
  <si>
    <t>متجر النور</t>
  </si>
  <si>
    <t>توصيل</t>
  </si>
  <si>
    <t>AWB-0048377</t>
  </si>
  <si>
    <t>الجيزة</t>
  </si>
  <si>
    <t>الدقي</t>
  </si>
  <si>
    <t>ستايل هوم</t>
  </si>
  <si>
    <t>AWB-0048402</t>
  </si>
  <si>
    <t>طنطا</t>
  </si>
  <si>
    <t>سيجر</t>
  </si>
  <si>
    <t>AWB-0048519</t>
  </si>
  <si>
    <t>الإسكندرية</t>
  </si>
  <si>
    <t>سموحة</t>
  </si>
  <si>
    <t>بيبي كير</t>
  </si>
  <si>
    <t>استلام</t>
  </si>
  <si>
    <t>AWB-0048544</t>
  </si>
  <si>
    <t>الشرق</t>
  </si>
  <si>
    <t>مصر الجديدة</t>
  </si>
  <si>
    <t>مرتجع</t>
  </si>
  <si>
    <t>AWB-0048590</t>
  </si>
  <si>
    <t>عباس العقاد</t>
  </si>
  <si>
    <t>تك زون</t>
  </si>
  <si>
    <t>AWB-0048611</t>
  </si>
  <si>
    <t>الاستاد</t>
  </si>
  <si>
    <t>AWB-0048655</t>
  </si>
  <si>
    <t>غير محدد</t>
  </si>
  <si>
    <t>الفحص</t>
  </si>
  <si>
    <t>عدد الصفوف</t>
  </si>
  <si>
    <t>النتيجة</t>
  </si>
  <si>
    <t>الإجراء</t>
  </si>
  <si>
    <t>أرقام شحنات مكررة</t>
  </si>
  <si>
    <t>مطابق</t>
  </si>
  <si>
    <t>—</t>
  </si>
  <si>
    <t>شحنات بدون فرع مسجل</t>
  </si>
  <si>
    <t>تظهر كـ«غير مسجل» ولا توزع على الفروع</t>
  </si>
  <si>
    <t>تاريخ تسليم قبل تاريخ الإنشاء</t>
  </si>
  <si>
    <t>قيمة تحصيل سالبة</t>
  </si>
  <si>
    <t>حالات خارج القائمة المعتمدة</t>
  </si>
  <si>
    <t>رقم الحالة</t>
  </si>
  <si>
    <t>تاريخ المراجعة</t>
  </si>
  <si>
    <t>المراجع</t>
  </si>
  <si>
    <t>الاستثناء</t>
  </si>
  <si>
    <t>الدليل</t>
  </si>
  <si>
    <t>عمر الطلب (يوم)</t>
  </si>
  <si>
    <t>عمر الاستلام (يوم)</t>
  </si>
  <si>
    <t>SLA (يوم)</t>
  </si>
  <si>
    <t>فرق التسوية</t>
  </si>
  <si>
    <t>CASE-001</t>
  </si>
  <si>
    <t>أحمد علي</t>
  </si>
  <si>
    <t>تأخر التسليم</t>
  </si>
  <si>
    <t>تقرير الأعمار 28/9</t>
  </si>
  <si>
    <t>CASE-002</t>
  </si>
  <si>
    <t>لم يتم الاستلام من التاجر</t>
  </si>
  <si>
    <t>سجل المندوب</t>
  </si>
  <si>
    <t>CASE-003</t>
  </si>
  <si>
    <t>سارة محمود</t>
  </si>
  <si>
    <t>مرتجع بدون سبب</t>
  </si>
  <si>
    <t>شاشة النظام</t>
  </si>
  <si>
    <t>CASE-004</t>
  </si>
  <si>
    <t>فرق تحصيل نقدي</t>
  </si>
  <si>
    <t>كشف التسوية</t>
  </si>
  <si>
    <t>CASE-005</t>
  </si>
  <si>
    <t>مطابقة عينة</t>
  </si>
  <si>
    <t>إيصال التسليم</t>
  </si>
  <si>
    <t>إجمالي الشحنات</t>
  </si>
  <si>
    <t>المسلم</t>
  </si>
  <si>
    <t>المرتجع</t>
  </si>
  <si>
    <t>نسبة التسليم</t>
  </si>
  <si>
    <t>نسبة المرتجع</t>
  </si>
  <si>
    <t>المؤشر</t>
  </si>
  <si>
    <t>الفترة الحالية</t>
  </si>
  <si>
    <t>الفترة السابقة</t>
  </si>
  <si>
    <t>التغير</t>
  </si>
  <si>
    <t>112,828</t>
  </si>
  <si>
    <t>100,739</t>
  </si>
  <si>
    <t>⁦+12.0%⁩</t>
  </si>
  <si>
    <t>66.2%</t>
  </si>
  <si>
    <t>65.2%</t>
  </si>
  <si>
    <t>⁦+1.0⁩ نقطة</t>
  </si>
  <si>
    <t>27.6%</t>
  </si>
  <si>
    <t>20.4%</t>
  </si>
  <si>
    <t>⁦+7.2⁩ نقطة</t>
  </si>
  <si>
    <t>نسبة الشكاوى</t>
  </si>
  <si>
    <t>0.5%</t>
  </si>
  <si>
    <t>0.7%</t>
  </si>
  <si>
    <t>⁦−0.2⁩ نقطة</t>
  </si>
  <si>
    <t>لوحة المتابعة — سبتمبر 2026</t>
  </si>
  <si>
    <t>الحالات المفتوحة</t>
  </si>
  <si>
    <t>4</t>
  </si>
  <si>
    <t>↑ 12%</t>
  </si>
  <si>
    <t>↑ 1.0 نقطة</t>
  </si>
  <si>
    <t>↑ 7.2 نقطة</t>
  </si>
  <si>
    <t>من 5 حالات</t>
  </si>
  <si>
    <t>الحالات حسب الحالة</t>
  </si>
  <si>
    <t>العدد</t>
  </si>
  <si>
    <t>ملاحظة المراجعة</t>
  </si>
  <si>
    <t>الأثر</t>
  </si>
  <si>
    <t>السبب الجذري</t>
  </si>
  <si>
    <t>الإدارة المسؤولة</t>
  </si>
  <si>
    <t>مستوى الأهمية</t>
  </si>
  <si>
    <t>تاريخ الاستحقاق</t>
  </si>
  <si>
    <t>شحنات تجاوزت 7 أيام — طنطا</t>
  </si>
  <si>
    <t>1,142 شحنة — تقرير الأعمار</t>
  </si>
  <si>
    <t>ارتفاع المرتجع</t>
  </si>
  <si>
    <t>نقص المناديب في المناطق البعيدة</t>
  </si>
  <si>
    <t>إدارة الفرع</t>
  </si>
  <si>
    <t>مرتفع</t>
  </si>
  <si>
    <t>مرتجع بدون سبب مسجل</t>
  </si>
  <si>
    <t>2,310 حالة</t>
  </si>
  <si>
    <t>تعذر تحليل الأسباب</t>
  </si>
  <si>
    <t>الحقل اختياري في النظام</t>
  </si>
  <si>
    <t>فريق النظم</t>
  </si>
  <si>
    <t>متوسط</t>
  </si>
  <si>
    <t>فرق تحصيل نقدي — الجيزة</t>
  </si>
  <si>
    <t>فرق 150 ج.م</t>
  </si>
  <si>
    <t>تأخر توريد المندوب</t>
  </si>
  <si>
    <t>الحسابات</t>
  </si>
  <si>
    <t>منخفض</t>
  </si>
  <si>
    <t>المسؤول</t>
  </si>
  <si>
    <t>المتابعة</t>
  </si>
  <si>
    <t>إعادة توزيع مناديب فرع طنطا</t>
  </si>
  <si>
    <t>مدير الفرع</t>
  </si>
  <si>
    <t>مراجعة أسبوعية</t>
  </si>
  <si>
    <t>إلزام تسجيل سبب المرتجع</t>
  </si>
  <si>
    <t>اختبار على فرع واحد</t>
  </si>
  <si>
    <t>تسوية فرق التحصيل</t>
  </si>
  <si>
    <t>مطالبة المندوب</t>
  </si>
  <si>
    <t>مطابقة التحصيل النقدي — أغسطس</t>
  </si>
  <si>
    <t>مغلق</t>
  </si>
  <si>
    <t>الحقل</t>
  </si>
  <si>
    <t>الورقة</t>
  </si>
  <si>
    <t>النوع</t>
  </si>
  <si>
    <t>التنسيق</t>
  </si>
  <si>
    <t>الوصف</t>
  </si>
  <si>
    <t>البيانات الخام</t>
  </si>
  <si>
    <t>نص</t>
  </si>
  <si>
    <t>AWB-0000000</t>
  </si>
  <si>
    <t>معرف فريد للشحنة من النظام</t>
  </si>
  <si>
    <t>تاريخ</t>
  </si>
  <si>
    <t>yyyy-mm-dd</t>
  </si>
  <si>
    <t>أساس احتساب الفترة</t>
  </si>
  <si>
    <t>كل الأوراق</t>
  </si>
  <si>
    <t>قائمة</t>
  </si>
  <si>
    <t>من ورقة قوائم</t>
  </si>
  <si>
    <t>نص الحالة إلزامي — اللون مساعد فقط</t>
  </si>
  <si>
    <t>عمر الطلب</t>
  </si>
  <si>
    <t>إدخال المراجعة</t>
  </si>
  <si>
    <t>رقم صحيح</t>
  </si>
  <si>
    <t>0</t>
  </si>
  <si>
    <t>الأيام من الإنشاء حتى التسليم أو تاريخ المراجعة</t>
  </si>
  <si>
    <t>عمر الاستلام</t>
  </si>
  <si>
    <t>الأيام من طلب الاستلام حتى الاستلام الفعلي</t>
  </si>
  <si>
    <t>SLA</t>
  </si>
  <si>
    <t>الحد المسموح بالأيام حسب المنطقة</t>
  </si>
  <si>
    <t>عملة</t>
  </si>
  <si>
    <t>#,##0.00 "ج.م"</t>
  </si>
  <si>
    <t>المحصل − المورد؛ صفر = مطابق</t>
  </si>
  <si>
    <t>نسبة</t>
  </si>
  <si>
    <t>0.0%</t>
  </si>
  <si>
    <t>المسلم ÷ إجمالي الشحنات</t>
  </si>
  <si>
    <t>status</t>
  </si>
  <si>
    <t>branch</t>
  </si>
  <si>
    <t>dept</t>
  </si>
  <si>
    <t>importance</t>
  </si>
  <si>
    <t>إدارة العمليات</t>
  </si>
  <si>
    <t>خدمة العملاء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</si>
</sst>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0 &quot;ج.م&quot;"/>
    <numFmt numFmtId="166" formatCode="0.0%"/>
  </numFmts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Cairo"/>
    </font>
    <font>
      <b/>
      <color rgb="FFB45309"/>
      <sz val="10"/>
      <name val="Cairo"/>
    </font>
    <font>
      <b/>
      <color rgb="FF0837C9"/>
      <sz val="11"/>
      <name val="Cairo"/>
    </font>
    <font>
      <color rgb="FF0F172A"/>
      <sz val="11"/>
      <name val="Cairo"/>
    </font>
    <font>
      <b/>
      <color rgb="FF0837C9"/>
      <sz val="13"/>
      <name val="Cairo"/>
    </font>
    <font>
      <b/>
      <color rgb="FF0837C9"/>
      <sz val="12"/>
      <name val="Cairo"/>
    </font>
    <font>
      <b/>
      <color rgb="FF15803D"/>
      <sz val="11"/>
      <name val="Cairo"/>
    </font>
    <font>
      <b/>
      <color rgb="FFB45309"/>
      <sz val="11"/>
      <name val="Cairo"/>
    </font>
    <font>
      <b/>
      <color rgb="FFB91C1C"/>
      <sz val="11"/>
      <name val="Cairo"/>
    </font>
    <font>
      <b/>
      <color rgb="FF1D4ED8"/>
      <sz val="11"/>
      <name val="Cairo"/>
    </font>
    <font>
      <b/>
      <color rgb="FF475569"/>
      <sz val="11"/>
      <name val="Cairo"/>
    </font>
    <font>
      <b/>
      <color rgb="FFFFFFFF"/>
      <sz val="12"/>
      <name val="Cairo"/>
    </font>
    <font>
      <color rgb="FF0F172A"/>
      <sz val="11"/>
      <name val="Inter"/>
    </font>
    <font>
      <b/>
      <color rgb="FF64748B"/>
      <sz val="11"/>
      <name val="Cairo"/>
    </font>
    <font>
      <b/>
      <color rgb="FF0F172A"/>
      <sz val="22"/>
      <name val="Inter"/>
    </font>
    <font>
      <b/>
      <color rgb="FF64748B"/>
      <sz val="10"/>
      <name val="Cairo"/>
    </font>
  </fonts>
  <fills count="10">
    <fill>
      <patternFill patternType="none"/>
    </fill>
    <fill>
      <patternFill patternType="gray125"/>
    </fill>
    <fill>
      <patternFill patternType="solid">
        <fgColor rgb="FF0837C9"/>
      </patternFill>
    </fill>
    <fill>
      <patternFill patternType="solid">
        <fgColor rgb="FFFEF3C7"/>
      </patternFill>
    </fill>
    <fill>
      <patternFill patternType="solid">
        <fgColor rgb="FFE6F4FF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right" vertical="center" inden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7" fillId="5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49" fontId="13" fillId="0" borderId="1" xfId="0" applyNumberFormat="1" applyFont="1" applyBorder="1" applyAlignment="1">
      <alignment horizontal="left" vertical="center"/>
    </xf>
    <xf numFmtId="164" fontId="1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49" fontId="13" fillId="9" borderId="1" xfId="0" applyNumberFormat="1" applyFont="1" applyFill="1" applyBorder="1" applyAlignment="1">
      <alignment horizontal="left" vertical="center"/>
    </xf>
    <xf numFmtId="164" fontId="13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/>
    </xf>
    <xf numFmtId="165" fontId="13" fillId="9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3" fillId="9" borderId="1" xfId="0" applyNumberFormat="1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166" fontId="13" fillId="9" borderId="1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right" vertical="center" indent="1"/>
    </xf>
    <xf numFmtId="0" fontId="16" fillId="4" borderId="0" xfId="0" applyFont="1" applyFill="1" applyAlignment="1">
      <alignment horizontal="right" vertical="center" indent="1"/>
    </xf>
    <xf numFmtId="0" fontId="12" fillId="2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1">
    <cellStyle name="Normal" xfId="0" builtinId="0"/>
  </cellStyles>
  <dxfs count="77"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24000</xdr:colOff>
      <xdr:row>0</xdr:row>
      <xdr:rowOff>86400</xdr:rowOff>
    </xdr:from>
    <xdr:ext cx="114300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15999</xdr:colOff>
      <xdr:row>0</xdr:row>
      <xdr:rowOff>86400</xdr:rowOff>
    </xdr:from>
    <xdr:ext cx="114300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rightToLeft="1" zoomScale="100" zoomScaleNormal="100"/>
  </sheetViews>
  <sheetFormatPr defaultRowHeight="15" outlineLevelRow="0" outlineLevelCol="0" x14ac:dyDescent="55"/>
  <sheetData>
    <row r="1" spans="1:4" x14ac:dyDescent="0.25">
      <c r="A1" t="s">
        <v>198</v>
      </c>
      <c r="B1" t="s">
        <v>199</v>
      </c>
      <c r="C1" t="s">
        <v>200</v>
      </c>
      <c r="D1" t="s">
        <v>201</v>
      </c>
    </row>
    <row r="2" spans="1:4" x14ac:dyDescent="0.25">
      <c r="A2" t="s">
        <v>18</v>
      </c>
      <c r="B2" t="s">
        <v>37</v>
      </c>
      <c r="C2" t="s">
        <v>202</v>
      </c>
      <c r="D2" t="s">
        <v>144</v>
      </c>
    </row>
    <row r="3" spans="1:4" x14ac:dyDescent="0.25">
      <c r="A3" t="s">
        <v>19</v>
      </c>
      <c r="B3" t="s">
        <v>42</v>
      </c>
      <c r="C3" t="s">
        <v>149</v>
      </c>
      <c r="D3" t="s">
        <v>150</v>
      </c>
    </row>
    <row r="4" spans="1:4" x14ac:dyDescent="0.25">
      <c r="A4" t="s">
        <v>20</v>
      </c>
      <c r="B4" t="s">
        <v>54</v>
      </c>
      <c r="C4" t="s">
        <v>154</v>
      </c>
      <c r="D4" t="s">
        <v>155</v>
      </c>
    </row>
    <row r="5" spans="1:3" x14ac:dyDescent="0.25">
      <c r="A5" t="s">
        <v>21</v>
      </c>
      <c r="B5" t="s">
        <v>49</v>
      </c>
      <c r="C5" t="s">
        <v>203</v>
      </c>
    </row>
    <row r="6" spans="1:3" x14ac:dyDescent="0.25">
      <c r="A6" t="s">
        <v>22</v>
      </c>
      <c r="B6" t="s">
        <v>46</v>
      </c>
      <c r="C6" t="s">
        <v>143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 rightToLeft="1" showGridLines="0" zoomScale="100" zoomScaleNormal="100"/>
  </sheetViews>
  <sheetFormatPr defaultRowHeight="15" outlineLevelRow="0" outlineLevelCol="0" x14ac:dyDescent="55"/>
  <cols>
    <col min="1" max="1" width="24" customWidth="1"/>
    <col min="2" max="2" width="60" customWidth="1"/>
  </cols>
  <sheetData>
    <row r="1" ht="48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5" ht="22" customHeight="1" spans="1:2" x14ac:dyDescent="0.25">
      <c r="A5" s="3" t="s">
        <v>2</v>
      </c>
      <c r="B5" s="4" t="s">
        <v>3</v>
      </c>
    </row>
    <row r="6" ht="22" customHeight="1" spans="1:2" x14ac:dyDescent="0.25">
      <c r="A6" s="3" t="s">
        <v>4</v>
      </c>
      <c r="B6" s="4" t="s">
        <v>5</v>
      </c>
    </row>
    <row r="7" ht="22" customHeight="1" spans="1:2" x14ac:dyDescent="0.25">
      <c r="A7" s="3" t="s">
        <v>6</v>
      </c>
      <c r="B7" s="4" t="s">
        <v>7</v>
      </c>
    </row>
    <row r="8" ht="22" customHeight="1" spans="1:2" x14ac:dyDescent="0.25">
      <c r="A8" s="3" t="s">
        <v>8</v>
      </c>
      <c r="B8" s="4" t="s">
        <v>9</v>
      </c>
    </row>
    <row r="10" spans="1:1" x14ac:dyDescent="0.25">
      <c r="A10" s="5" t="s">
        <v>10</v>
      </c>
    </row>
    <row r="11" ht="30" customHeight="1" spans="1:2" x14ac:dyDescent="0.25">
      <c r="A11" s="6">
        <v>1</v>
      </c>
      <c r="B11" s="7" t="s">
        <v>11</v>
      </c>
    </row>
    <row r="12" ht="30" customHeight="1" spans="1:2" x14ac:dyDescent="0.25">
      <c r="A12" s="6">
        <v>2</v>
      </c>
      <c r="B12" s="7" t="s">
        <v>12</v>
      </c>
    </row>
    <row r="13" ht="30" customHeight="1" spans="1:2" x14ac:dyDescent="0.25">
      <c r="A13" s="6">
        <v>3</v>
      </c>
      <c r="B13" s="7" t="s">
        <v>13</v>
      </c>
    </row>
    <row r="14" ht="30" customHeight="1" spans="1:2" x14ac:dyDescent="0.25">
      <c r="A14" s="6">
        <v>4</v>
      </c>
      <c r="B14" s="7" t="s">
        <v>14</v>
      </c>
    </row>
    <row r="15" ht="30" customHeight="1" spans="1:2" x14ac:dyDescent="0.25">
      <c r="A15" s="6">
        <v>5</v>
      </c>
      <c r="B15" s="7" t="s">
        <v>15</v>
      </c>
    </row>
    <row r="16" ht="30" customHeight="1" spans="1:2" x14ac:dyDescent="0.25">
      <c r="A16" s="6">
        <v>6</v>
      </c>
      <c r="B16" s="7" t="s">
        <v>16</v>
      </c>
    </row>
    <row r="18" spans="1:1" x14ac:dyDescent="0.25">
      <c r="A18" s="8" t="s">
        <v>17</v>
      </c>
    </row>
    <row r="19" spans="1:1" x14ac:dyDescent="0.25">
      <c r="A19" s="9" t="s">
        <v>18</v>
      </c>
    </row>
    <row r="20" spans="1:1" x14ac:dyDescent="0.25">
      <c r="A20" s="10" t="s">
        <v>19</v>
      </c>
    </row>
    <row r="21" spans="1:1" x14ac:dyDescent="0.25">
      <c r="A21" s="11" t="s">
        <v>20</v>
      </c>
    </row>
    <row r="22" spans="1:1" x14ac:dyDescent="0.25">
      <c r="A22" s="11" t="s">
        <v>21</v>
      </c>
    </row>
    <row r="23" spans="1:1" x14ac:dyDescent="0.25">
      <c r="A23" s="12" t="s">
        <v>22</v>
      </c>
    </row>
    <row r="24" spans="1:1" x14ac:dyDescent="0.25">
      <c r="A24" s="11" t="s">
        <v>23</v>
      </c>
    </row>
    <row r="25" spans="1:1" x14ac:dyDescent="0.25">
      <c r="A25" s="13" t="s">
        <v>24</v>
      </c>
    </row>
    <row r="26" spans="1:1" x14ac:dyDescent="0.25">
      <c r="A26" s="9" t="s">
        <v>25</v>
      </c>
    </row>
    <row r="27" spans="1:1" x14ac:dyDescent="0.25">
      <c r="A27" s="11" t="s">
        <v>26</v>
      </c>
    </row>
  </sheetData>
  <mergeCells count="2">
    <mergeCell ref="A1:B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 rightToLeft="1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  <col min="4" max="5" width="16" customWidth="1"/>
    <col min="6" max="6" width="12" customWidth="1"/>
    <col min="7" max="7" width="16" customWidth="1"/>
    <col min="8" max="8" width="14" customWidth="1"/>
    <col min="9" max="9" width="16" customWidth="1"/>
    <col min="11" max="11" width="16" customWidth="1"/>
  </cols>
  <sheetData>
    <row r="1" ht="30" customHeight="1" spans="1:11" x14ac:dyDescent="0.2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K1" s="2" t="s">
        <v>1</v>
      </c>
    </row>
    <row r="2" ht="22" customHeight="1" spans="1:9" x14ac:dyDescent="0.25">
      <c r="A2" s="15" t="s">
        <v>36</v>
      </c>
      <c r="B2" s="16">
        <v>46267</v>
      </c>
      <c r="C2" s="17" t="s">
        <v>37</v>
      </c>
      <c r="D2" s="18" t="s">
        <v>38</v>
      </c>
      <c r="E2" s="18" t="s">
        <v>39</v>
      </c>
      <c r="F2" s="18" t="s">
        <v>40</v>
      </c>
      <c r="G2" s="19" t="s">
        <v>18</v>
      </c>
      <c r="H2" s="16">
        <v>46268</v>
      </c>
      <c r="I2" s="20">
        <v>450</v>
      </c>
    </row>
    <row r="3" ht="22" customHeight="1" spans="1:9" x14ac:dyDescent="0.25">
      <c r="A3" s="21" t="s">
        <v>41</v>
      </c>
      <c r="B3" s="22">
        <v>46270</v>
      </c>
      <c r="C3" s="23" t="s">
        <v>42</v>
      </c>
      <c r="D3" s="24" t="s">
        <v>43</v>
      </c>
      <c r="E3" s="24" t="s">
        <v>44</v>
      </c>
      <c r="F3" s="24" t="s">
        <v>40</v>
      </c>
      <c r="G3" s="25" t="s">
        <v>22</v>
      </c>
      <c r="H3" s="22"/>
      <c r="I3" s="26">
        <v>1250</v>
      </c>
    </row>
    <row r="4" ht="22" customHeight="1" spans="1:9" x14ac:dyDescent="0.25">
      <c r="A4" s="15" t="s">
        <v>45</v>
      </c>
      <c r="B4" s="16">
        <v>46271</v>
      </c>
      <c r="C4" s="17" t="s">
        <v>46</v>
      </c>
      <c r="D4" s="18" t="s">
        <v>47</v>
      </c>
      <c r="E4" s="18" t="s">
        <v>39</v>
      </c>
      <c r="F4" s="18" t="s">
        <v>40</v>
      </c>
      <c r="G4" s="19" t="s">
        <v>20</v>
      </c>
      <c r="H4" s="16"/>
      <c r="I4" s="20">
        <v>780</v>
      </c>
    </row>
    <row r="5" ht="22" customHeight="1" spans="1:9" x14ac:dyDescent="0.25">
      <c r="A5" s="21" t="s">
        <v>48</v>
      </c>
      <c r="B5" s="22">
        <v>46273</v>
      </c>
      <c r="C5" s="23" t="s">
        <v>49</v>
      </c>
      <c r="D5" s="24" t="s">
        <v>50</v>
      </c>
      <c r="E5" s="24" t="s">
        <v>51</v>
      </c>
      <c r="F5" s="24" t="s">
        <v>52</v>
      </c>
      <c r="G5" s="25" t="s">
        <v>26</v>
      </c>
      <c r="H5" s="22"/>
      <c r="I5" s="26">
        <v>0</v>
      </c>
    </row>
    <row r="6" ht="22" customHeight="1" spans="1:9" x14ac:dyDescent="0.25">
      <c r="A6" s="15" t="s">
        <v>53</v>
      </c>
      <c r="B6" s="16">
        <v>46275</v>
      </c>
      <c r="C6" s="17" t="s">
        <v>54</v>
      </c>
      <c r="D6" s="18" t="s">
        <v>55</v>
      </c>
      <c r="E6" s="18" t="s">
        <v>44</v>
      </c>
      <c r="F6" s="18" t="s">
        <v>56</v>
      </c>
      <c r="G6" s="19" t="s">
        <v>21</v>
      </c>
      <c r="H6" s="16">
        <v>46279</v>
      </c>
      <c r="I6" s="20">
        <v>0</v>
      </c>
    </row>
    <row r="7" ht="22" customHeight="1" spans="1:9" x14ac:dyDescent="0.25">
      <c r="A7" s="21" t="s">
        <v>57</v>
      </c>
      <c r="B7" s="22">
        <v>46276</v>
      </c>
      <c r="C7" s="23" t="s">
        <v>37</v>
      </c>
      <c r="D7" s="24" t="s">
        <v>58</v>
      </c>
      <c r="E7" s="24" t="s">
        <v>59</v>
      </c>
      <c r="F7" s="24" t="s">
        <v>40</v>
      </c>
      <c r="G7" s="25" t="s">
        <v>18</v>
      </c>
      <c r="H7" s="22">
        <v>46277</v>
      </c>
      <c r="I7" s="26">
        <v>2300</v>
      </c>
    </row>
    <row r="8" ht="22" customHeight="1" spans="1:9" x14ac:dyDescent="0.25">
      <c r="A8" s="15" t="s">
        <v>60</v>
      </c>
      <c r="B8" s="16">
        <v>46277</v>
      </c>
      <c r="C8" s="17" t="s">
        <v>46</v>
      </c>
      <c r="D8" s="18" t="s">
        <v>61</v>
      </c>
      <c r="E8" s="18" t="s">
        <v>59</v>
      </c>
      <c r="F8" s="18" t="s">
        <v>52</v>
      </c>
      <c r="G8" s="19" t="s">
        <v>25</v>
      </c>
      <c r="H8" s="16">
        <v>46277</v>
      </c>
      <c r="I8" s="20">
        <v>0</v>
      </c>
    </row>
    <row r="9" ht="22" customHeight="1" spans="1:9" x14ac:dyDescent="0.25">
      <c r="A9" s="21" t="s">
        <v>62</v>
      </c>
      <c r="B9" s="22">
        <v>46280</v>
      </c>
      <c r="C9" s="23"/>
      <c r="D9" s="24" t="s">
        <v>63</v>
      </c>
      <c r="E9" s="24" t="s">
        <v>51</v>
      </c>
      <c r="F9" s="24" t="s">
        <v>40</v>
      </c>
      <c r="G9" s="25" t="s">
        <v>24</v>
      </c>
      <c r="H9" s="22"/>
      <c r="I9" s="26">
        <v>320</v>
      </c>
    </row>
  </sheetData>
  <autoFilter ref="A1:I1"/>
  <conditionalFormatting sqref="G2:G200">
    <cfRule type="expression" dxfId="0" priority="1">
      <formula>$G2="تم"</formula>
    </cfRule>
    <cfRule type="expression" dxfId="1" priority="2">
      <formula>$G2="معلق"</formula>
    </cfRule>
    <cfRule type="expression" dxfId="2" priority="3">
      <formula>$G2="متأخر"</formula>
    </cfRule>
    <cfRule type="expression" dxfId="3" priority="4">
      <formula>$G2="مرفوض"</formula>
    </cfRule>
    <cfRule type="expression" dxfId="4" priority="5">
      <formula>$G2="قيد المراجعة"</formula>
    </cfRule>
    <cfRule type="expression" dxfId="5" priority="6">
      <formula>$G2="غير مطابق"</formula>
    </cfRule>
    <cfRule type="expression" dxfId="6" priority="7">
      <formula>$G2="غير مسجل"</formula>
    </cfRule>
    <cfRule type="expression" dxfId="7" priority="8">
      <formula>$G2="تم الاستلام"</formula>
    </cfRule>
    <cfRule type="expression" dxfId="8" priority="9">
      <formula>$G2="لم يتم الاستلام"</formula>
    </cfRule>
    <cfRule type="expression" dxfId="9" priority="10">
      <formula>$G2="مطابق"</formula>
    </cfRule>
    <cfRule type="expression" dxfId="10" priority="11">
      <formula>$G2="خارج SLA"</formula>
    </cfRule>
    <cfRule type="expression" dxfId="11" priority="12">
      <formula>$G2="ضمن SLA"</formula>
    </cfRule>
  </conditionalFormatting>
  <dataValidations count="8">
    <dataValidation type="date" operator="greaterThan" allowBlank="1" showErrorMessage="1" error="تاريخ غير صالح" sqref="B10:B200">
      <formula1>43831</formula1>
    </dataValidation>
    <dataValidation type="date" operator="greaterThan" allowBlank="1" showErrorMessage="1" error="تاريخ غير صالح" sqref="B2:B200">
      <formula1>43831</formula1>
    </dataValidation>
    <dataValidation type="list" allowBlank="1" sqref="C10:C200">
      <formula1>'قوائم'!$B$2:$B$6</formula1>
    </dataValidation>
    <dataValidation type="list" allowBlank="1" sqref="C2:C200">
      <formula1>'قوائم'!$B$2:$B$6</formula1>
    </dataValidation>
    <dataValidation type="list" allowBlank="1" showErrorMessage="1" errorTitle="قيمة غير معتمدة" error="اختر الحالة من القائمة" sqref="G10:G200">
      <formula1>'قوائم'!$A$2:$A$10</formula1>
    </dataValidation>
    <dataValidation type="list" allowBlank="1" showErrorMessage="1" errorTitle="قيمة غير معتمدة" error="اختر الحالة من القائمة" sqref="G2:G200">
      <formula1>'قوائم'!$A$2:$A$10</formula1>
    </dataValidation>
    <dataValidation type="date" operator="greaterThan" allowBlank="1" showErrorMessage="1" error="تاريخ غير صالح" sqref="H10:H200">
      <formula1>43831</formula1>
    </dataValidation>
    <dataValidation type="date" operator="greaterThan" allowBlank="1" showErrorMessage="1" error="تاريخ غير صالح" sqref="H2:H200">
      <formula1>43831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rightToLeft="1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4" customWidth="1"/>
    <col min="4" max="4" width="40" customWidth="1"/>
    <col min="6" max="6" width="16" customWidth="1"/>
  </cols>
  <sheetData>
    <row r="1" ht="30" customHeight="1" spans="1:6" x14ac:dyDescent="0.25">
      <c r="A1" s="14" t="s">
        <v>64</v>
      </c>
      <c r="B1" s="14" t="s">
        <v>65</v>
      </c>
      <c r="C1" s="14" t="s">
        <v>66</v>
      </c>
      <c r="D1" s="14" t="s">
        <v>67</v>
      </c>
      <c r="F1" s="2" t="s">
        <v>1</v>
      </c>
    </row>
    <row r="2" ht="22" customHeight="1" spans="1:4" x14ac:dyDescent="0.25">
      <c r="A2" s="18" t="s">
        <v>68</v>
      </c>
      <c r="B2" s="27">
        <v>0</v>
      </c>
      <c r="C2" s="19" t="s">
        <v>69</v>
      </c>
      <c r="D2" s="18" t="s">
        <v>70</v>
      </c>
    </row>
    <row r="3" ht="22" customHeight="1" spans="1:4" x14ac:dyDescent="0.25">
      <c r="A3" s="24" t="s">
        <v>71</v>
      </c>
      <c r="B3" s="28">
        <v>1</v>
      </c>
      <c r="C3" s="25" t="s">
        <v>23</v>
      </c>
      <c r="D3" s="24" t="s">
        <v>72</v>
      </c>
    </row>
    <row r="4" ht="22" customHeight="1" spans="1:4" x14ac:dyDescent="0.25">
      <c r="A4" s="18" t="s">
        <v>73</v>
      </c>
      <c r="B4" s="27">
        <v>0</v>
      </c>
      <c r="C4" s="19" t="s">
        <v>69</v>
      </c>
      <c r="D4" s="18" t="s">
        <v>70</v>
      </c>
    </row>
    <row r="5" ht="22" customHeight="1" spans="1:4" x14ac:dyDescent="0.25">
      <c r="A5" s="24" t="s">
        <v>74</v>
      </c>
      <c r="B5" s="28">
        <v>0</v>
      </c>
      <c r="C5" s="25" t="s">
        <v>69</v>
      </c>
      <c r="D5" s="24" t="s">
        <v>70</v>
      </c>
    </row>
    <row r="6" ht="22" customHeight="1" spans="1:4" x14ac:dyDescent="0.25">
      <c r="A6" s="18" t="s">
        <v>75</v>
      </c>
      <c r="B6" s="27">
        <v>0</v>
      </c>
      <c r="C6" s="19" t="s">
        <v>69</v>
      </c>
      <c r="D6" s="18" t="s">
        <v>70</v>
      </c>
    </row>
  </sheetData>
  <autoFilter ref="A1:D1"/>
  <conditionalFormatting sqref="C2:C200">
    <cfRule type="expression" dxfId="12" priority="1">
      <formula>$C2="تم"</formula>
    </cfRule>
    <cfRule type="expression" dxfId="13" priority="2">
      <formula>$C2="معلق"</formula>
    </cfRule>
    <cfRule type="expression" dxfId="14" priority="3">
      <formula>$C2="متأخر"</formula>
    </cfRule>
    <cfRule type="expression" dxfId="15" priority="4">
      <formula>$C2="مرفوض"</formula>
    </cfRule>
    <cfRule type="expression" dxfId="16" priority="5">
      <formula>$C2="قيد المراجعة"</formula>
    </cfRule>
    <cfRule type="expression" dxfId="17" priority="6">
      <formula>$C2="غير مطابق"</formula>
    </cfRule>
    <cfRule type="expression" dxfId="18" priority="7">
      <formula>$C2="غير مسجل"</formula>
    </cfRule>
    <cfRule type="expression" dxfId="19" priority="8">
      <formula>$C2="تم الاستلام"</formula>
    </cfRule>
    <cfRule type="expression" dxfId="20" priority="9">
      <formula>$C2="لم يتم الاستلام"</formula>
    </cfRule>
    <cfRule type="expression" dxfId="21" priority="10">
      <formula>$C2="مطابق"</formula>
    </cfRule>
    <cfRule type="expression" dxfId="22" priority="11">
      <formula>$C2="خارج SLA"</formula>
    </cfRule>
    <cfRule type="expression" dxfId="23" priority="12">
      <formula>$C2="ضمن SLA"</formula>
    </cfRule>
  </conditionalFormatting>
  <dataValidations count="2">
    <dataValidation type="list" allowBlank="1" showErrorMessage="1" errorTitle="قيمة غير معتمدة" error="اختر الحالة من القائمة" sqref="C10:C200">
      <formula1>'قوائم'!$A$2:$A$10</formula1>
    </dataValidation>
    <dataValidation type="list" allowBlank="1" showErrorMessage="1" errorTitle="قيمة غير معتمدة" error="اختر الحالة من القائمة" sqref="C2:C200">
      <formula1>'قوائم'!$A$2:$A$10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rightToLeft="1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3" customWidth="1"/>
    <col min="5" max="5" width="15" customWidth="1"/>
    <col min="6" max="6" width="24" customWidth="1"/>
    <col min="7" max="7" width="22" customWidth="1"/>
    <col min="8" max="9" width="12" customWidth="1"/>
    <col min="10" max="10" width="10" customWidth="1"/>
    <col min="11" max="11" width="14" customWidth="1"/>
    <col min="12" max="12" width="16" customWidth="1"/>
    <col min="14" max="14" width="16" customWidth="1"/>
  </cols>
  <sheetData>
    <row r="1" ht="30" customHeight="1" spans="1:14" x14ac:dyDescent="0.25">
      <c r="A1" s="14" t="s">
        <v>76</v>
      </c>
      <c r="B1" s="14" t="s">
        <v>77</v>
      </c>
      <c r="C1" s="14" t="s">
        <v>78</v>
      </c>
      <c r="D1" s="14" t="s">
        <v>29</v>
      </c>
      <c r="E1" s="14" t="s">
        <v>27</v>
      </c>
      <c r="F1" s="14" t="s">
        <v>79</v>
      </c>
      <c r="G1" s="14" t="s">
        <v>80</v>
      </c>
      <c r="H1" s="14" t="s">
        <v>81</v>
      </c>
      <c r="I1" s="14" t="s">
        <v>82</v>
      </c>
      <c r="J1" s="14" t="s">
        <v>83</v>
      </c>
      <c r="K1" s="14" t="s">
        <v>84</v>
      </c>
      <c r="L1" s="14" t="s">
        <v>33</v>
      </c>
      <c r="N1" s="2" t="s">
        <v>1</v>
      </c>
    </row>
    <row r="2" ht="22" customHeight="1" spans="1:12" x14ac:dyDescent="0.25">
      <c r="A2" s="15" t="s">
        <v>85</v>
      </c>
      <c r="B2" s="16">
        <v>46285</v>
      </c>
      <c r="C2" s="18" t="s">
        <v>86</v>
      </c>
      <c r="D2" s="17" t="s">
        <v>46</v>
      </c>
      <c r="E2" s="15" t="s">
        <v>45</v>
      </c>
      <c r="F2" s="18" t="s">
        <v>87</v>
      </c>
      <c r="G2" s="18" t="s">
        <v>88</v>
      </c>
      <c r="H2" s="27">
        <v>14</v>
      </c>
      <c r="I2" s="27">
        <v>2</v>
      </c>
      <c r="J2" s="27">
        <v>5</v>
      </c>
      <c r="K2" s="20">
        <v>0</v>
      </c>
      <c r="L2" s="19" t="s">
        <v>20</v>
      </c>
    </row>
    <row r="3" ht="22" customHeight="1" spans="1:12" x14ac:dyDescent="0.25">
      <c r="A3" s="21" t="s">
        <v>89</v>
      </c>
      <c r="B3" s="22">
        <v>46286</v>
      </c>
      <c r="C3" s="24" t="s">
        <v>86</v>
      </c>
      <c r="D3" s="23" t="s">
        <v>49</v>
      </c>
      <c r="E3" s="21" t="s">
        <v>48</v>
      </c>
      <c r="F3" s="24" t="s">
        <v>90</v>
      </c>
      <c r="G3" s="24" t="s">
        <v>91</v>
      </c>
      <c r="H3" s="28">
        <v>12</v>
      </c>
      <c r="I3" s="28">
        <v>12</v>
      </c>
      <c r="J3" s="28">
        <v>2</v>
      </c>
      <c r="K3" s="26">
        <v>0</v>
      </c>
      <c r="L3" s="25" t="s">
        <v>19</v>
      </c>
    </row>
    <row r="4" ht="22" customHeight="1" spans="1:12" x14ac:dyDescent="0.25">
      <c r="A4" s="15" t="s">
        <v>92</v>
      </c>
      <c r="B4" s="16">
        <v>46287</v>
      </c>
      <c r="C4" s="18" t="s">
        <v>93</v>
      </c>
      <c r="D4" s="17" t="s">
        <v>54</v>
      </c>
      <c r="E4" s="15" t="s">
        <v>53</v>
      </c>
      <c r="F4" s="18" t="s">
        <v>94</v>
      </c>
      <c r="G4" s="18" t="s">
        <v>95</v>
      </c>
      <c r="H4" s="27">
        <v>4</v>
      </c>
      <c r="I4" s="27">
        <v>1</v>
      </c>
      <c r="J4" s="27">
        <v>3</v>
      </c>
      <c r="K4" s="20">
        <v>0</v>
      </c>
      <c r="L4" s="19" t="s">
        <v>23</v>
      </c>
    </row>
    <row r="5" ht="22" customHeight="1" spans="1:12" x14ac:dyDescent="0.25">
      <c r="A5" s="21" t="s">
        <v>96</v>
      </c>
      <c r="B5" s="22">
        <v>46288</v>
      </c>
      <c r="C5" s="24" t="s">
        <v>93</v>
      </c>
      <c r="D5" s="23" t="s">
        <v>42</v>
      </c>
      <c r="E5" s="21" t="s">
        <v>41</v>
      </c>
      <c r="F5" s="24" t="s">
        <v>97</v>
      </c>
      <c r="G5" s="24" t="s">
        <v>98</v>
      </c>
      <c r="H5" s="28">
        <v>6</v>
      </c>
      <c r="I5" s="28">
        <v>1</v>
      </c>
      <c r="J5" s="28">
        <v>3</v>
      </c>
      <c r="K5" s="26">
        <v>-150</v>
      </c>
      <c r="L5" s="25" t="s">
        <v>22</v>
      </c>
    </row>
    <row r="6" ht="22" customHeight="1" spans="1:12" x14ac:dyDescent="0.25">
      <c r="A6" s="15" t="s">
        <v>99</v>
      </c>
      <c r="B6" s="16">
        <v>46289</v>
      </c>
      <c r="C6" s="18" t="s">
        <v>86</v>
      </c>
      <c r="D6" s="17" t="s">
        <v>37</v>
      </c>
      <c r="E6" s="15" t="s">
        <v>57</v>
      </c>
      <c r="F6" s="18" t="s">
        <v>100</v>
      </c>
      <c r="G6" s="18" t="s">
        <v>101</v>
      </c>
      <c r="H6" s="27">
        <v>1</v>
      </c>
      <c r="I6" s="27">
        <v>1</v>
      </c>
      <c r="J6" s="27">
        <v>3</v>
      </c>
      <c r="K6" s="20">
        <v>0</v>
      </c>
      <c r="L6" s="19" t="s">
        <v>18</v>
      </c>
    </row>
  </sheetData>
  <autoFilter ref="A1:L1"/>
  <conditionalFormatting sqref="L2:L200">
    <cfRule type="expression" dxfId="24" priority="1">
      <formula>$L2="تم"</formula>
    </cfRule>
    <cfRule type="expression" dxfId="25" priority="2">
      <formula>$L2="معلق"</formula>
    </cfRule>
    <cfRule type="expression" dxfId="26" priority="3">
      <formula>$L2="متأخر"</formula>
    </cfRule>
    <cfRule type="expression" dxfId="27" priority="4">
      <formula>$L2="مرفوض"</formula>
    </cfRule>
    <cfRule type="expression" dxfId="28" priority="5">
      <formula>$L2="قيد المراجعة"</formula>
    </cfRule>
    <cfRule type="expression" dxfId="29" priority="6">
      <formula>$L2="غير مطابق"</formula>
    </cfRule>
    <cfRule type="expression" dxfId="30" priority="7">
      <formula>$L2="غير مسجل"</formula>
    </cfRule>
    <cfRule type="expression" dxfId="31" priority="8">
      <formula>$L2="تم الاستلام"</formula>
    </cfRule>
    <cfRule type="expression" dxfId="32" priority="9">
      <formula>$L2="لم يتم الاستلام"</formula>
    </cfRule>
    <cfRule type="expression" dxfId="33" priority="10">
      <formula>$L2="مطابق"</formula>
    </cfRule>
    <cfRule type="expression" dxfId="34" priority="11">
      <formula>$L2="خارج SLA"</formula>
    </cfRule>
    <cfRule type="expression" dxfId="35" priority="12">
      <formula>$L2="ضمن SLA"</formula>
    </cfRule>
  </conditionalFormatting>
  <conditionalFormatting sqref="H2:H200">
    <cfRule type="expression" dxfId="36" priority="40">
      <formula>AND(ISNUMBER($H2),$H2&gt;$J2)</formula>
    </cfRule>
  </conditionalFormatting>
  <conditionalFormatting sqref="K2:K200">
    <cfRule type="expression" dxfId="37" priority="41">
      <formula>AND(ISNUMBER($K2),$K2&lt;&gt;0)</formula>
    </cfRule>
  </conditionalFormatting>
  <dataValidations count="8">
    <dataValidation type="date" operator="greaterThan" allowBlank="1" showErrorMessage="1" error="تاريخ غير صالح" sqref="B10:B200">
      <formula1>43831</formula1>
    </dataValidation>
    <dataValidation type="date" operator="greaterThan" allowBlank="1" showErrorMessage="1" error="تاريخ غير صالح" sqref="B2:B200">
      <formula1>43831</formula1>
    </dataValidation>
    <dataValidation type="list" allowBlank="1" sqref="D10:D200">
      <formula1>'قوائم'!$B$2:$B$6</formula1>
    </dataValidation>
    <dataValidation type="list" allowBlank="1" sqref="D2:D200">
      <formula1>'قوائم'!$B$2:$B$6</formula1>
    </dataValidation>
    <dataValidation type="whole" operator="greaterThanOrEqual" allowBlank="1" showErrorMessage="1" error="عدد أيام صحيح ≥ 0" sqref="H10:I200">
      <formula1>0</formula1>
    </dataValidation>
    <dataValidation type="whole" operator="greaterThanOrEqual" allowBlank="1" showErrorMessage="1" error="عدد أيام صحيح ≥ 0" sqref="H2:I200">
      <formula1>0</formula1>
    </dataValidation>
    <dataValidation type="list" allowBlank="1" showErrorMessage="1" errorTitle="قيمة غير معتمدة" error="اختر الحالة من القائمة" sqref="L10:L200">
      <formula1>'قوائم'!$A$2:$A$10</formula1>
    </dataValidation>
    <dataValidation type="list" allowBlank="1" showErrorMessage="1" errorTitle="قيمة غير معتمدة" error="اختر الحالة من القائمة" sqref="L2:L200">
      <formula1>'قوائم'!$A$2:$A$10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6" width="12" customWidth="1"/>
    <col min="8" max="8" width="16" customWidth="1"/>
  </cols>
  <sheetData>
    <row r="1" ht="30" customHeight="1" spans="1:8" x14ac:dyDescent="0.25">
      <c r="A1" s="14" t="s">
        <v>29</v>
      </c>
      <c r="B1" s="14" t="s">
        <v>102</v>
      </c>
      <c r="C1" s="14" t="s">
        <v>103</v>
      </c>
      <c r="D1" s="14" t="s">
        <v>104</v>
      </c>
      <c r="E1" s="14" t="s">
        <v>105</v>
      </c>
      <c r="F1" s="14" t="s">
        <v>106</v>
      </c>
      <c r="H1" s="2" t="s">
        <v>1</v>
      </c>
    </row>
    <row r="2" ht="22" customHeight="1" spans="1:6" x14ac:dyDescent="0.25">
      <c r="A2" s="18" t="s">
        <v>37</v>
      </c>
      <c r="B2" s="27">
        <v>28400</v>
      </c>
      <c r="C2" s="27">
        <v>20249</v>
      </c>
      <c r="D2" s="27">
        <v>6276</v>
      </c>
      <c r="E2" s="29">
        <f>C2/B2</f>
        <v>0.7129929577464789</v>
      </c>
      <c r="F2" s="29">
        <f>D2/B2</f>
        <v>0.22098591549295774</v>
      </c>
    </row>
    <row r="3" ht="22" customHeight="1" spans="1:6" x14ac:dyDescent="0.25">
      <c r="A3" s="24" t="s">
        <v>42</v>
      </c>
      <c r="B3" s="28">
        <v>16200</v>
      </c>
      <c r="C3" s="28">
        <v>10336</v>
      </c>
      <c r="D3" s="28">
        <v>5087</v>
      </c>
      <c r="E3" s="30">
        <f>C3/B3</f>
        <v>0.6380246913580246</v>
      </c>
      <c r="F3" s="30">
        <f>D3/B3</f>
        <v>0.3140123456790124</v>
      </c>
    </row>
    <row r="4" ht="22" customHeight="1" spans="1:6" x14ac:dyDescent="0.25">
      <c r="A4" s="18" t="s">
        <v>54</v>
      </c>
      <c r="B4" s="27">
        <v>14100</v>
      </c>
      <c r="C4" s="27">
        <v>9715</v>
      </c>
      <c r="D4" s="27">
        <v>3455</v>
      </c>
      <c r="E4" s="29">
        <f>C4/B4</f>
        <v>0.6890070921985816</v>
      </c>
      <c r="F4" s="29">
        <f>D4/B4</f>
        <v>0.2450354609929078</v>
      </c>
    </row>
    <row r="5" ht="22" customHeight="1" spans="1:6" x14ac:dyDescent="0.25">
      <c r="A5" s="24" t="s">
        <v>49</v>
      </c>
      <c r="B5" s="28">
        <v>12600</v>
      </c>
      <c r="C5" s="28">
        <v>8316</v>
      </c>
      <c r="D5" s="28">
        <v>3364</v>
      </c>
      <c r="E5" s="30">
        <f>C5/B5</f>
        <v>0.66</v>
      </c>
      <c r="F5" s="30">
        <f>D5/B5</f>
        <v>0.266984126984127</v>
      </c>
    </row>
    <row r="6" ht="22" customHeight="1" spans="1:6" x14ac:dyDescent="0.25">
      <c r="A6" s="18" t="s">
        <v>46</v>
      </c>
      <c r="B6" s="27">
        <v>9800</v>
      </c>
      <c r="C6" s="27">
        <v>5723</v>
      </c>
      <c r="D6" s="27">
        <v>3450</v>
      </c>
      <c r="E6" s="29">
        <f>C6/B6</f>
        <v>0.5839795918367346</v>
      </c>
      <c r="F6" s="29">
        <f>D6/B6</f>
        <v>0.3520408163265306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rightToLeft="1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4" customWidth="1"/>
    <col min="5" max="5" width="12" customWidth="1"/>
    <col min="7" max="7" width="16" customWidth="1"/>
  </cols>
  <sheetData>
    <row r="1" ht="30" customHeight="1" spans="1:7" x14ac:dyDescent="0.25">
      <c r="A1" s="14" t="s">
        <v>107</v>
      </c>
      <c r="B1" s="14" t="s">
        <v>108</v>
      </c>
      <c r="C1" s="14" t="s">
        <v>109</v>
      </c>
      <c r="D1" s="14" t="s">
        <v>110</v>
      </c>
      <c r="E1" s="14" t="s">
        <v>33</v>
      </c>
      <c r="G1" s="2" t="s">
        <v>1</v>
      </c>
    </row>
    <row r="2" ht="22" customHeight="1" spans="1:5" x14ac:dyDescent="0.25">
      <c r="A2" s="18" t="s">
        <v>102</v>
      </c>
      <c r="B2" s="19" t="s">
        <v>111</v>
      </c>
      <c r="C2" s="19" t="s">
        <v>112</v>
      </c>
      <c r="D2" s="18" t="s">
        <v>113</v>
      </c>
      <c r="E2" s="19" t="s">
        <v>18</v>
      </c>
    </row>
    <row r="3" ht="22" customHeight="1" spans="1:5" x14ac:dyDescent="0.25">
      <c r="A3" s="24" t="s">
        <v>105</v>
      </c>
      <c r="B3" s="25" t="s">
        <v>114</v>
      </c>
      <c r="C3" s="25" t="s">
        <v>115</v>
      </c>
      <c r="D3" s="24" t="s">
        <v>116</v>
      </c>
      <c r="E3" s="25" t="s">
        <v>18</v>
      </c>
    </row>
    <row r="4" ht="22" customHeight="1" spans="1:5" x14ac:dyDescent="0.25">
      <c r="A4" s="18" t="s">
        <v>106</v>
      </c>
      <c r="B4" s="19" t="s">
        <v>117</v>
      </c>
      <c r="C4" s="19" t="s">
        <v>118</v>
      </c>
      <c r="D4" s="18" t="s">
        <v>119</v>
      </c>
      <c r="E4" s="19" t="s">
        <v>20</v>
      </c>
    </row>
    <row r="5" ht="22" customHeight="1" spans="1:5" x14ac:dyDescent="0.25">
      <c r="A5" s="24" t="s">
        <v>120</v>
      </c>
      <c r="B5" s="25" t="s">
        <v>121</v>
      </c>
      <c r="C5" s="25" t="s">
        <v>122</v>
      </c>
      <c r="D5" s="24" t="s">
        <v>123</v>
      </c>
      <c r="E5" s="25" t="s">
        <v>18</v>
      </c>
    </row>
  </sheetData>
  <autoFilter ref="A1:E1"/>
  <conditionalFormatting sqref="E2:E200">
    <cfRule type="expression" dxfId="38" priority="1">
      <formula>$E2="تم"</formula>
    </cfRule>
    <cfRule type="expression" dxfId="39" priority="2">
      <formula>$E2="معلق"</formula>
    </cfRule>
    <cfRule type="expression" dxfId="40" priority="3">
      <formula>$E2="متأخر"</formula>
    </cfRule>
    <cfRule type="expression" dxfId="41" priority="4">
      <formula>$E2="مرفوض"</formula>
    </cfRule>
    <cfRule type="expression" dxfId="42" priority="5">
      <formula>$E2="قيد المراجعة"</formula>
    </cfRule>
    <cfRule type="expression" dxfId="43" priority="6">
      <formula>$E2="غير مطابق"</formula>
    </cfRule>
    <cfRule type="expression" dxfId="44" priority="7">
      <formula>$E2="غير مسجل"</formula>
    </cfRule>
    <cfRule type="expression" dxfId="45" priority="8">
      <formula>$E2="تم الاستلام"</formula>
    </cfRule>
    <cfRule type="expression" dxfId="46" priority="9">
      <formula>$E2="لم يتم الاستلام"</formula>
    </cfRule>
    <cfRule type="expression" dxfId="47" priority="10">
      <formula>$E2="مطابق"</formula>
    </cfRule>
    <cfRule type="expression" dxfId="48" priority="11">
      <formula>$E2="خارج SLA"</formula>
    </cfRule>
    <cfRule type="expression" dxfId="49" priority="12">
      <formula>$E2="ضمن SLA"</formula>
    </cfRule>
  </conditionalFormatting>
  <dataValidations count="2">
    <dataValidation type="list" allowBlank="1" showErrorMessage="1" errorTitle="قيمة غير معتمدة" error="اختر الحالة من القائمة" sqref="E10:E200">
      <formula1>'قوائم'!$A$2:$A$10</formula1>
    </dataValidation>
    <dataValidation type="list" allowBlank="1" showErrorMessage="1" errorTitle="قيمة غير معتمدة" error="اختر الحالة من القائمة" sqref="E2:E200">
      <formula1>'قوائم'!$A$2:$A$10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rightToLeft="1" showGridLines="0" zoomScale="100" zoomScaleNormal="100"/>
  </sheetViews>
  <sheetFormatPr defaultRowHeight="15" outlineLevelRow="0" outlineLevelCol="0" x14ac:dyDescent="55"/>
  <cols>
    <col min="1" max="8" width="16" customWidth="1"/>
  </cols>
  <sheetData>
    <row r="1" ht="48" customHeight="1" spans="1:8" x14ac:dyDescent="0.25">
      <c r="A1" s="1" t="s">
        <v>124</v>
      </c>
      <c r="B1" s="1"/>
      <c r="C1" s="1"/>
      <c r="D1" s="1"/>
      <c r="E1" s="1"/>
      <c r="F1" s="1"/>
      <c r="G1" s="1"/>
      <c r="H1" s="1"/>
    </row>
    <row r="3" spans="1:2" x14ac:dyDescent="0.25">
      <c r="A3" s="2" t="s">
        <v>1</v>
      </c>
      <c r="B3" s="2"/>
    </row>
    <row r="5" spans="1:8" x14ac:dyDescent="0.25">
      <c r="A5" s="31" t="s">
        <v>102</v>
      </c>
      <c r="B5" s="31"/>
      <c r="C5" s="31" t="s">
        <v>105</v>
      </c>
      <c r="D5" s="31"/>
      <c r="E5" s="31" t="s">
        <v>106</v>
      </c>
      <c r="F5" s="31"/>
      <c r="G5" s="31" t="s">
        <v>125</v>
      </c>
      <c r="H5" s="31"/>
    </row>
    <row r="6" ht="36" customHeight="1" spans="1:8" x14ac:dyDescent="0.25">
      <c r="A6" s="32" t="s">
        <v>111</v>
      </c>
      <c r="B6" s="32"/>
      <c r="C6" s="32" t="s">
        <v>114</v>
      </c>
      <c r="D6" s="32"/>
      <c r="E6" s="32" t="s">
        <v>117</v>
      </c>
      <c r="F6" s="32"/>
      <c r="G6" s="32" t="s">
        <v>126</v>
      </c>
      <c r="H6" s="32"/>
    </row>
    <row r="7" spans="1:8" x14ac:dyDescent="0.25">
      <c r="A7" s="33" t="s">
        <v>127</v>
      </c>
      <c r="B7" s="33"/>
      <c r="C7" s="33" t="s">
        <v>128</v>
      </c>
      <c r="D7" s="33"/>
      <c r="E7" s="33" t="s">
        <v>129</v>
      </c>
      <c r="F7" s="33"/>
      <c r="G7" s="33" t="s">
        <v>130</v>
      </c>
      <c r="H7" s="33"/>
    </row>
    <row r="9" spans="1:1" x14ac:dyDescent="0.25">
      <c r="A9" s="5" t="s">
        <v>131</v>
      </c>
    </row>
    <row r="10" spans="1:2" x14ac:dyDescent="0.25">
      <c r="A10" s="34" t="s">
        <v>33</v>
      </c>
      <c r="B10" s="34" t="s">
        <v>132</v>
      </c>
    </row>
    <row r="11" spans="1:2" x14ac:dyDescent="0.25">
      <c r="A11" s="35" t="s">
        <v>20</v>
      </c>
      <c r="B11" s="36">
        <f>COUNTIF('إدخال المراجعة'!L:L,A11)</f>
        <v>1</v>
      </c>
    </row>
    <row r="12" spans="1:2" x14ac:dyDescent="0.25">
      <c r="A12" s="37" t="s">
        <v>19</v>
      </c>
      <c r="B12" s="36">
        <f>COUNTIF('إدخال المراجعة'!L:L,A12)</f>
        <v>1</v>
      </c>
    </row>
    <row r="13" spans="1:2" x14ac:dyDescent="0.25">
      <c r="A13" s="35" t="s">
        <v>23</v>
      </c>
      <c r="B13" s="36">
        <f>COUNTIF('إدخال المراجعة'!L:L,A13)</f>
        <v>1</v>
      </c>
    </row>
    <row r="14" spans="1:2" x14ac:dyDescent="0.25">
      <c r="A14" s="38" t="s">
        <v>22</v>
      </c>
      <c r="B14" s="36">
        <f>COUNTIF('إدخال المراجعة'!L:L,A14)</f>
        <v>1</v>
      </c>
    </row>
    <row r="15" spans="1:2" x14ac:dyDescent="0.25">
      <c r="A15" s="39" t="s">
        <v>18</v>
      </c>
      <c r="B15" s="36">
        <f>COUNTIF('إدخال المراجعة'!L:L,A15)</f>
        <v>1</v>
      </c>
    </row>
  </sheetData>
  <mergeCells count="14">
    <mergeCell ref="A1:H1"/>
    <mergeCell ref="A3:B3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rightToLeft="1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2" customWidth="1"/>
    <col min="4" max="4" width="24" customWidth="1"/>
    <col min="5" max="5" width="16" customWidth="1"/>
    <col min="6" max="6" width="12" customWidth="1"/>
    <col min="7" max="8" width="14" customWidth="1"/>
    <col min="10" max="10" width="16" customWidth="1"/>
  </cols>
  <sheetData>
    <row r="1" ht="30" customHeight="1" spans="1:10" x14ac:dyDescent="0.25">
      <c r="A1" s="14" t="s">
        <v>133</v>
      </c>
      <c r="B1" s="14" t="s">
        <v>80</v>
      </c>
      <c r="C1" s="14" t="s">
        <v>134</v>
      </c>
      <c r="D1" s="14" t="s">
        <v>135</v>
      </c>
      <c r="E1" s="14" t="s">
        <v>136</v>
      </c>
      <c r="F1" s="14" t="s">
        <v>137</v>
      </c>
      <c r="G1" s="14" t="s">
        <v>138</v>
      </c>
      <c r="H1" s="14" t="s">
        <v>33</v>
      </c>
      <c r="J1" s="2" t="s">
        <v>1</v>
      </c>
    </row>
    <row r="2" ht="22" customHeight="1" spans="1:8" x14ac:dyDescent="0.25">
      <c r="A2" s="18" t="s">
        <v>139</v>
      </c>
      <c r="B2" s="18" t="s">
        <v>140</v>
      </c>
      <c r="C2" s="18" t="s">
        <v>141</v>
      </c>
      <c r="D2" s="18" t="s">
        <v>142</v>
      </c>
      <c r="E2" s="17" t="s">
        <v>143</v>
      </c>
      <c r="F2" s="17" t="s">
        <v>144</v>
      </c>
      <c r="G2" s="16">
        <v>46300</v>
      </c>
      <c r="H2" s="19" t="s">
        <v>20</v>
      </c>
    </row>
    <row r="3" ht="22" customHeight="1" spans="1:8" x14ac:dyDescent="0.25">
      <c r="A3" s="24" t="s">
        <v>145</v>
      </c>
      <c r="B3" s="24" t="s">
        <v>146</v>
      </c>
      <c r="C3" s="24" t="s">
        <v>147</v>
      </c>
      <c r="D3" s="24" t="s">
        <v>148</v>
      </c>
      <c r="E3" s="23" t="s">
        <v>149</v>
      </c>
      <c r="F3" s="23" t="s">
        <v>150</v>
      </c>
      <c r="G3" s="22">
        <v>46307</v>
      </c>
      <c r="H3" s="25" t="s">
        <v>22</v>
      </c>
    </row>
    <row r="4" ht="22" customHeight="1" spans="1:8" x14ac:dyDescent="0.25">
      <c r="A4" s="18" t="s">
        <v>151</v>
      </c>
      <c r="B4" s="18" t="s">
        <v>98</v>
      </c>
      <c r="C4" s="18" t="s">
        <v>152</v>
      </c>
      <c r="D4" s="18" t="s">
        <v>153</v>
      </c>
      <c r="E4" s="17" t="s">
        <v>154</v>
      </c>
      <c r="F4" s="17" t="s">
        <v>155</v>
      </c>
      <c r="G4" s="16">
        <v>46296</v>
      </c>
      <c r="H4" s="19" t="s">
        <v>19</v>
      </c>
    </row>
  </sheetData>
  <autoFilter ref="A1:H1"/>
  <conditionalFormatting sqref="F2:F200">
    <cfRule type="expression" dxfId="50" priority="20">
      <formula>$F2="مرتفع"</formula>
    </cfRule>
    <cfRule type="expression" dxfId="51" priority="21">
      <formula>$F2="متوسط"</formula>
    </cfRule>
    <cfRule type="expression" dxfId="52" priority="22">
      <formula>$F2="منخفض"</formula>
    </cfRule>
  </conditionalFormatting>
  <conditionalFormatting sqref="H2:H200">
    <cfRule type="expression" dxfId="53" priority="1">
      <formula>$H2="تم"</formula>
    </cfRule>
    <cfRule type="expression" dxfId="54" priority="2">
      <formula>$H2="معلق"</formula>
    </cfRule>
    <cfRule type="expression" dxfId="55" priority="3">
      <formula>$H2="متأخر"</formula>
    </cfRule>
    <cfRule type="expression" dxfId="56" priority="4">
      <formula>$H2="مرفوض"</formula>
    </cfRule>
    <cfRule type="expression" dxfId="57" priority="5">
      <formula>$H2="قيد المراجعة"</formula>
    </cfRule>
    <cfRule type="expression" dxfId="58" priority="6">
      <formula>$H2="غير مطابق"</formula>
    </cfRule>
    <cfRule type="expression" dxfId="59" priority="7">
      <formula>$H2="غير مسجل"</formula>
    </cfRule>
    <cfRule type="expression" dxfId="60" priority="8">
      <formula>$H2="تم الاستلام"</formula>
    </cfRule>
    <cfRule type="expression" dxfId="61" priority="9">
      <formula>$H2="لم يتم الاستلام"</formula>
    </cfRule>
    <cfRule type="expression" dxfId="62" priority="10">
      <formula>$H2="مطابق"</formula>
    </cfRule>
    <cfRule type="expression" dxfId="63" priority="11">
      <formula>$H2="خارج SLA"</formula>
    </cfRule>
    <cfRule type="expression" dxfId="64" priority="12">
      <formula>$H2="ضمن SLA"</formula>
    </cfRule>
  </conditionalFormatting>
  <dataValidations count="8">
    <dataValidation type="list" allowBlank="1" sqref="E10:E200">
      <formula1>'قوائم'!$C$2:$C$6</formula1>
    </dataValidation>
    <dataValidation type="list" allowBlank="1" sqref="E2:E200">
      <formula1>'قوائم'!$C$2:$C$6</formula1>
    </dataValidation>
    <dataValidation type="list" allowBlank="1" sqref="F10:F200">
      <formula1>'قوائم'!$D$2:$D$4</formula1>
    </dataValidation>
    <dataValidation type="list" allowBlank="1" sqref="F2:F200">
      <formula1>'قوائم'!$D$2:$D$4</formula1>
    </dataValidation>
    <dataValidation type="date" operator="greaterThan" allowBlank="1" showErrorMessage="1" error="تاريخ غير صالح" sqref="G10:G200">
      <formula1>43831</formula1>
    </dataValidation>
    <dataValidation type="date" operator="greaterThan" allowBlank="1" showErrorMessage="1" error="تاريخ غير صالح" sqref="G2:G200">
      <formula1>43831</formula1>
    </dataValidation>
    <dataValidation type="list" allowBlank="1" showErrorMessage="1" errorTitle="قيمة غير معتمدة" error="اختر الحالة من القائمة" sqref="H10:H200">
      <formula1>'قوائم'!$A$2:$A$10</formula1>
    </dataValidation>
    <dataValidation type="list" allowBlank="1" showErrorMessage="1" errorTitle="قيمة غير معتمدة" error="اختر الحالة من القائمة" sqref="H2:H200">
      <formula1>'قوائم'!$A$2:$A$10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rightToLeft="1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4" width="14" customWidth="1"/>
    <col min="5" max="5" width="24" customWidth="1"/>
    <col min="7" max="7" width="16" customWidth="1"/>
  </cols>
  <sheetData>
    <row r="1" ht="30" customHeight="1" spans="1:7" x14ac:dyDescent="0.25">
      <c r="A1" s="14" t="s">
        <v>67</v>
      </c>
      <c r="B1" s="14" t="s">
        <v>156</v>
      </c>
      <c r="C1" s="14" t="s">
        <v>138</v>
      </c>
      <c r="D1" s="14" t="s">
        <v>33</v>
      </c>
      <c r="E1" s="14" t="s">
        <v>157</v>
      </c>
      <c r="G1" s="2" t="s">
        <v>1</v>
      </c>
    </row>
    <row r="2" ht="22" customHeight="1" spans="1:5" x14ac:dyDescent="0.25">
      <c r="A2" s="18" t="s">
        <v>158</v>
      </c>
      <c r="B2" s="18" t="s">
        <v>159</v>
      </c>
      <c r="C2" s="16">
        <v>46300</v>
      </c>
      <c r="D2" s="19" t="s">
        <v>19</v>
      </c>
      <c r="E2" s="18" t="s">
        <v>160</v>
      </c>
    </row>
    <row r="3" ht="22" customHeight="1" spans="1:5" x14ac:dyDescent="0.25">
      <c r="A3" s="24" t="s">
        <v>161</v>
      </c>
      <c r="B3" s="24" t="s">
        <v>149</v>
      </c>
      <c r="C3" s="22">
        <v>46307</v>
      </c>
      <c r="D3" s="25" t="s">
        <v>22</v>
      </c>
      <c r="E3" s="24" t="s">
        <v>162</v>
      </c>
    </row>
    <row r="4" ht="22" customHeight="1" spans="1:5" x14ac:dyDescent="0.25">
      <c r="A4" s="18" t="s">
        <v>163</v>
      </c>
      <c r="B4" s="18" t="s">
        <v>154</v>
      </c>
      <c r="C4" s="16">
        <v>46296</v>
      </c>
      <c r="D4" s="19" t="s">
        <v>19</v>
      </c>
      <c r="E4" s="18" t="s">
        <v>164</v>
      </c>
    </row>
    <row r="5" ht="22" customHeight="1" spans="1:5" x14ac:dyDescent="0.25">
      <c r="A5" s="24" t="s">
        <v>165</v>
      </c>
      <c r="B5" s="24" t="s">
        <v>154</v>
      </c>
      <c r="C5" s="22">
        <v>46280</v>
      </c>
      <c r="D5" s="25" t="s">
        <v>18</v>
      </c>
      <c r="E5" s="24" t="s">
        <v>166</v>
      </c>
    </row>
  </sheetData>
  <autoFilter ref="A1:E1"/>
  <conditionalFormatting sqref="D2:D200">
    <cfRule type="expression" dxfId="65" priority="1">
      <formula>$D2="تم"</formula>
    </cfRule>
    <cfRule type="expression" dxfId="66" priority="2">
      <formula>$D2="معلق"</formula>
    </cfRule>
    <cfRule type="expression" dxfId="67" priority="3">
      <formula>$D2="متأخر"</formula>
    </cfRule>
    <cfRule type="expression" dxfId="68" priority="4">
      <formula>$D2="مرفوض"</formula>
    </cfRule>
    <cfRule type="expression" dxfId="69" priority="5">
      <formula>$D2="قيد المراجعة"</formula>
    </cfRule>
    <cfRule type="expression" dxfId="70" priority="6">
      <formula>$D2="غير مطابق"</formula>
    </cfRule>
    <cfRule type="expression" dxfId="71" priority="7">
      <formula>$D2="غير مسجل"</formula>
    </cfRule>
    <cfRule type="expression" dxfId="72" priority="8">
      <formula>$D2="تم الاستلام"</formula>
    </cfRule>
    <cfRule type="expression" dxfId="73" priority="9">
      <formula>$D2="لم يتم الاستلام"</formula>
    </cfRule>
    <cfRule type="expression" dxfId="74" priority="10">
      <formula>$D2="مطابق"</formula>
    </cfRule>
    <cfRule type="expression" dxfId="75" priority="11">
      <formula>$D2="خارج SLA"</formula>
    </cfRule>
    <cfRule type="expression" dxfId="76" priority="12">
      <formula>$D2="ضمن SLA"</formula>
    </cfRule>
  </conditionalFormatting>
  <dataValidations count="4">
    <dataValidation type="date" operator="greaterThan" allowBlank="1" showErrorMessage="1" error="تاريخ غير صالح" sqref="C10:C200">
      <formula1>43831</formula1>
    </dataValidation>
    <dataValidation type="date" operator="greaterThan" allowBlank="1" showErrorMessage="1" error="تاريخ غير صالح" sqref="C2:C200">
      <formula1>43831</formula1>
    </dataValidation>
    <dataValidation type="list" allowBlank="1" showErrorMessage="1" errorTitle="قيمة غير معتمدة" error="اختر الحالة من القائمة" sqref="D10:D200">
      <formula1>'قوائم'!$A$2:$A$10</formula1>
    </dataValidation>
    <dataValidation type="list" allowBlank="1" showErrorMessage="1" errorTitle="قيمة غير معتمدة" error="اختر الحالة من القائمة" sqref="D2:D200">
      <formula1>'قوائم'!$A$2:$A$10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0" customWidth="1"/>
    <col min="4" max="4" width="22" customWidth="1"/>
    <col min="5" max="5" width="44" customWidth="1"/>
    <col min="7" max="7" width="16" customWidth="1"/>
  </cols>
  <sheetData>
    <row r="1" ht="30" customHeight="1" spans="1:7" x14ac:dyDescent="0.25">
      <c r="A1" s="14" t="s">
        <v>167</v>
      </c>
      <c r="B1" s="14" t="s">
        <v>168</v>
      </c>
      <c r="C1" s="14" t="s">
        <v>169</v>
      </c>
      <c r="D1" s="14" t="s">
        <v>170</v>
      </c>
      <c r="E1" s="14" t="s">
        <v>171</v>
      </c>
      <c r="G1" s="2" t="s">
        <v>1</v>
      </c>
    </row>
    <row r="2" ht="22" customHeight="1" spans="1:5" x14ac:dyDescent="0.25">
      <c r="A2" s="18" t="s">
        <v>27</v>
      </c>
      <c r="B2" s="18" t="s">
        <v>172</v>
      </c>
      <c r="C2" s="18" t="s">
        <v>173</v>
      </c>
      <c r="D2" s="18" t="s">
        <v>174</v>
      </c>
      <c r="E2" s="18" t="s">
        <v>175</v>
      </c>
    </row>
    <row r="3" ht="22" customHeight="1" spans="1:5" x14ac:dyDescent="0.25">
      <c r="A3" s="24" t="s">
        <v>28</v>
      </c>
      <c r="B3" s="24" t="s">
        <v>172</v>
      </c>
      <c r="C3" s="24" t="s">
        <v>176</v>
      </c>
      <c r="D3" s="24" t="s">
        <v>177</v>
      </c>
      <c r="E3" s="24" t="s">
        <v>178</v>
      </c>
    </row>
    <row r="4" ht="22" customHeight="1" spans="1:5" x14ac:dyDescent="0.25">
      <c r="A4" s="18" t="s">
        <v>33</v>
      </c>
      <c r="B4" s="18" t="s">
        <v>179</v>
      </c>
      <c r="C4" s="18" t="s">
        <v>180</v>
      </c>
      <c r="D4" s="18" t="s">
        <v>181</v>
      </c>
      <c r="E4" s="18" t="s">
        <v>182</v>
      </c>
    </row>
    <row r="5" ht="22" customHeight="1" spans="1:5" x14ac:dyDescent="0.25">
      <c r="A5" s="24" t="s">
        <v>183</v>
      </c>
      <c r="B5" s="24" t="s">
        <v>184</v>
      </c>
      <c r="C5" s="24" t="s">
        <v>185</v>
      </c>
      <c r="D5" s="24" t="s">
        <v>186</v>
      </c>
      <c r="E5" s="24" t="s">
        <v>187</v>
      </c>
    </row>
    <row r="6" ht="22" customHeight="1" spans="1:5" x14ac:dyDescent="0.25">
      <c r="A6" s="18" t="s">
        <v>188</v>
      </c>
      <c r="B6" s="18" t="s">
        <v>184</v>
      </c>
      <c r="C6" s="18" t="s">
        <v>185</v>
      </c>
      <c r="D6" s="18" t="s">
        <v>186</v>
      </c>
      <c r="E6" s="18" t="s">
        <v>189</v>
      </c>
    </row>
    <row r="7" ht="22" customHeight="1" spans="1:5" x14ac:dyDescent="0.25">
      <c r="A7" s="24" t="s">
        <v>190</v>
      </c>
      <c r="B7" s="24" t="s">
        <v>184</v>
      </c>
      <c r="C7" s="24" t="s">
        <v>185</v>
      </c>
      <c r="D7" s="24" t="s">
        <v>186</v>
      </c>
      <c r="E7" s="24" t="s">
        <v>191</v>
      </c>
    </row>
    <row r="8" ht="22" customHeight="1" spans="1:5" x14ac:dyDescent="0.25">
      <c r="A8" s="18" t="s">
        <v>84</v>
      </c>
      <c r="B8" s="18" t="s">
        <v>184</v>
      </c>
      <c r="C8" s="18" t="s">
        <v>192</v>
      </c>
      <c r="D8" s="18" t="s">
        <v>193</v>
      </c>
      <c r="E8" s="18" t="s">
        <v>194</v>
      </c>
    </row>
    <row r="9" ht="22" customHeight="1" spans="1:5" x14ac:dyDescent="0.25">
      <c r="A9" s="24" t="s">
        <v>105</v>
      </c>
      <c r="B9" s="24" t="s">
        <v>154</v>
      </c>
      <c r="C9" s="24" t="s">
        <v>195</v>
      </c>
      <c r="D9" s="24" t="s">
        <v>196</v>
      </c>
      <c r="E9" s="24" t="s">
        <v>197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الغلاف والتعليمات</vt:lpstr>
      <vt:lpstr>البيانات الخام</vt:lpstr>
      <vt:lpstr>التحقق والتدقيق</vt:lpstr>
      <vt:lpstr>إدخال المراجعة</vt:lpstr>
      <vt:lpstr>الحسابات</vt:lpstr>
      <vt:lpstr>ملخص المؤشرات</vt:lpstr>
      <vt:lpstr>لوحة المتابعة</vt:lpstr>
      <vt:lpstr>الملاحظات</vt:lpstr>
      <vt:lpstr>متابعة الإجراءات</vt:lpstr>
      <vt:lpstr>قاموس البيانات</vt:lpstr>
      <vt:lpstr>قوائم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ARRIVE Design System</dc:creator>
  <dc:title/>
  <dc:subject/>
  <dc:description/>
  <cp:keywords/>
  <cp:category/>
  <cp:lastModifiedBy>Unknown</cp:lastModifiedBy>
  <dcterms:created xsi:type="dcterms:W3CDTF">2026-09-28T12:57:04Z</dcterms:created>
  <dcterms:modified xsi:type="dcterms:W3CDTF">2026-09-28T12:57:04Z</dcterms:modified>
</cp:coreProperties>
</file>